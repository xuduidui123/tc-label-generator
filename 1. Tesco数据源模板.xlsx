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sherry/Documents/20260328Tesco_Auto_Web/Tesco_Label_Web_fixed/"/>
    </mc:Choice>
  </mc:AlternateContent>
  <xr:revisionPtr revIDLastSave="0" documentId="13_ncr:1_{5DE3E1F9-ED6A-F94C-8D0B-734A52F60EC3}" xr6:coauthVersionLast="47" xr6:coauthVersionMax="47" xr10:uidLastSave="{00000000-0000-0000-0000-000000000000}"/>
  <bookViews>
    <workbookView xWindow="0" yWindow="640" windowWidth="30240" windowHeight="17840" xr2:uid="{00000000-000D-0000-FFFF-FFFF00000000}"/>
  </bookViews>
  <sheets>
    <sheet name="数据源" sheetId="1" r:id="rId1"/>
    <sheet name="选项字典" sheetId="2" r:id="rId2"/>
    <sheet name="填写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U3" i="1"/>
  <c r="V3" i="1"/>
  <c r="W3" i="1"/>
  <c r="X3" i="1"/>
  <c r="Y3" i="1"/>
  <c r="Z3" i="1"/>
  <c r="AA3" i="1"/>
  <c r="AB3" i="1"/>
  <c r="AC3" i="1"/>
  <c r="AD3" i="1" s="1"/>
  <c r="AF3" i="1"/>
  <c r="AH3" i="1"/>
  <c r="AJ3" i="1"/>
  <c r="AL3" i="1"/>
  <c r="AN3" i="1"/>
  <c r="AP3" i="1"/>
  <c r="AR3" i="1"/>
  <c r="T4" i="1"/>
  <c r="U4" i="1"/>
  <c r="V4" i="1"/>
  <c r="W4" i="1"/>
  <c r="X4" i="1"/>
  <c r="Y4" i="1"/>
  <c r="Z4" i="1"/>
  <c r="AA4" i="1"/>
  <c r="AB4" i="1"/>
  <c r="AC4" i="1"/>
  <c r="AD4" i="1"/>
  <c r="AF4" i="1"/>
  <c r="AH4" i="1"/>
  <c r="AJ4" i="1"/>
  <c r="AL4" i="1"/>
  <c r="AN4" i="1"/>
  <c r="AP4" i="1"/>
  <c r="AR4" i="1"/>
  <c r="AT4" i="1"/>
  <c r="T5" i="1"/>
  <c r="U5" i="1"/>
  <c r="V5" i="1"/>
  <c r="W5" i="1"/>
  <c r="X5" i="1"/>
  <c r="Y5" i="1"/>
  <c r="Z5" i="1"/>
  <c r="AA5" i="1"/>
  <c r="AB5" i="1"/>
  <c r="AC5" i="1"/>
  <c r="AT5" i="1" s="1"/>
  <c r="AF5" i="1"/>
  <c r="AH5" i="1"/>
  <c r="AJ5" i="1"/>
  <c r="AL5" i="1"/>
  <c r="AN5" i="1"/>
  <c r="AP5" i="1"/>
  <c r="AR5" i="1"/>
  <c r="T6" i="1"/>
  <c r="U6" i="1"/>
  <c r="V6" i="1"/>
  <c r="W6" i="1"/>
  <c r="X6" i="1"/>
  <c r="Y6" i="1"/>
  <c r="Z6" i="1"/>
  <c r="AA6" i="1"/>
  <c r="AB6" i="1"/>
  <c r="AC6" i="1"/>
  <c r="AD6" i="1"/>
  <c r="AF6" i="1"/>
  <c r="AH6" i="1"/>
  <c r="AJ6" i="1"/>
  <c r="AL6" i="1"/>
  <c r="AN6" i="1"/>
  <c r="AP6" i="1"/>
  <c r="AR6" i="1"/>
  <c r="AT6" i="1"/>
  <c r="AD5" i="1" l="1"/>
  <c r="AT3" i="1"/>
  <c r="AT2" i="1"/>
  <c r="AR2" i="1"/>
  <c r="AP2" i="1"/>
  <c r="AN2" i="1"/>
  <c r="AL2" i="1"/>
  <c r="AJ2" i="1"/>
  <c r="AH2" i="1"/>
  <c r="AF2" i="1"/>
  <c r="AC2" i="1"/>
  <c r="AD2" i="1" s="1"/>
  <c r="AB2" i="1"/>
  <c r="AA2" i="1"/>
  <c r="Z2" i="1"/>
  <c r="Y2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<sst xmlns="http://schemas.openxmlformats.org/spreadsheetml/2006/main" count="142" uniqueCount="98">
  <si>
    <t>产品品名</t>
  </si>
  <si>
    <t>产品英文名</t>
  </si>
  <si>
    <t>PO号</t>
  </si>
  <si>
    <t>总外箱数</t>
  </si>
  <si>
    <t>TPNB</t>
  </si>
  <si>
    <t>TPND</t>
  </si>
  <si>
    <t>ITF</t>
  </si>
  <si>
    <t>category</t>
  </si>
  <si>
    <t>EAN</t>
  </si>
  <si>
    <t>外箱装量</t>
  </si>
  <si>
    <t>内盒装量</t>
  </si>
  <si>
    <t>CEORMSNO</t>
  </si>
  <si>
    <t>SKU</t>
  </si>
  <si>
    <t>VSN</t>
  </si>
  <si>
    <t>毛重</t>
  </si>
  <si>
    <t>净重</t>
  </si>
  <si>
    <t>外箱长</t>
  </si>
  <si>
    <t>外箱宽</t>
  </si>
  <si>
    <t>外箱高</t>
  </si>
  <si>
    <t>订单国家</t>
  </si>
  <si>
    <t>CON不加粗</t>
  </si>
  <si>
    <t>CON加粗</t>
  </si>
  <si>
    <t>CON</t>
  </si>
  <si>
    <t>外箱BD号</t>
  </si>
  <si>
    <t>外箱尺寸</t>
  </si>
  <si>
    <t>双人抬标识</t>
  </si>
  <si>
    <t>BL</t>
  </si>
  <si>
    <t>ITF加空格</t>
  </si>
  <si>
    <t>BD条码号</t>
  </si>
  <si>
    <t>BD条码号加空格</t>
  </si>
  <si>
    <t>节日logo</t>
  </si>
  <si>
    <t>胶带颜色</t>
  </si>
  <si>
    <t>是否有CDU</t>
  </si>
  <si>
    <t>有CDU加印文字</t>
  </si>
  <si>
    <t>内盒是否直接接触CDU</t>
  </si>
  <si>
    <t>有CDU加印文字内盒版</t>
  </si>
  <si>
    <t>是否要做外箱</t>
  </si>
  <si>
    <t>外箱文件命名列</t>
  </si>
  <si>
    <t>是否要做内盒</t>
  </si>
  <si>
    <t>内盒文件命名列</t>
  </si>
  <si>
    <t>是否需要ITF-UK</t>
  </si>
  <si>
    <t>ITF_UK命名</t>
  </si>
  <si>
    <t>是否需要ITF-CE</t>
  </si>
  <si>
    <t>ITF_CE命名</t>
  </si>
  <si>
    <t>是否要做BD</t>
  </si>
  <si>
    <t>BD命名</t>
  </si>
  <si>
    <t>相思木黑陶瓷碗套装</t>
  </si>
  <si>
    <t>380-68804</t>
  </si>
  <si>
    <t>099065895</t>
  </si>
  <si>
    <t>000384156</t>
  </si>
  <si>
    <t>05063638227053</t>
  </si>
  <si>
    <t>5063638226940</t>
  </si>
  <si>
    <t>ST1238-TESCO</t>
  </si>
  <si>
    <t>Y</t>
  </si>
  <si>
    <t>N</t>
  </si>
  <si>
    <t>不锈钢刮皮刀</t>
  </si>
  <si>
    <t>999-88153</t>
  </si>
  <si>
    <t>05063446647500</t>
  </si>
  <si>
    <t>2005101001984</t>
  </si>
  <si>
    <t>ST1864-TESCO</t>
  </si>
  <si>
    <t>Halloween</t>
  </si>
  <si>
    <t>橙色</t>
  </si>
  <si>
    <t>Christmas</t>
  </si>
  <si>
    <t>请与客户确认</t>
  </si>
  <si>
    <t>Valentines</t>
  </si>
  <si>
    <t>红色</t>
  </si>
  <si>
    <t>Mother’s Day</t>
  </si>
  <si>
    <t>Father’s Day</t>
  </si>
  <si>
    <t>Easter</t>
  </si>
  <si>
    <t>Gardening</t>
  </si>
  <si>
    <t>绿色</t>
  </si>
  <si>
    <t>• 颜色含义：绿色=你手填的数据；橙色=公式列（Excel 自动算，请勿手改）；黄色=人工选择（下拉 Y/N 或节日）。</t>
  </si>
  <si>
    <t>• 务必用 Excel 打开填写并保存，让公式先算好，再上传网站（网站读取的是公式算出的值）。</t>
  </si>
  <si>
    <t>• 带前导 0 的号码（如 ITF、CEORMSNO）已设为文本格式，不会丢 0。</t>
  </si>
  <si>
    <t>• 每行开关：是否要做外箱/内盒、是否需要ITF-UK/ITF-CE、是否要做BD，填 Y 才生成对应标签。</t>
  </si>
  <si>
    <t>• 命名自动生成：外箱=PO+品名+总箱数+个外箱；内盒=内盒-品名；ITF=ITF-UK/CE-品名-英文名；BD=BD-品名。</t>
  </si>
  <si>
    <t>• BD条码号与外箱BD号由装量自动计算（外箱装量=内盒装量时不产生BD）。</t>
  </si>
  <si>
    <t>• 内盒装量=外箱装量时视为无内盒，自动不生成内盒标（即使勾了是否要做内盒=Y）。</t>
  </si>
  <si>
    <t>F&amp;F Home Acacia Wooden Tray with 3 bowls black</t>
  </si>
  <si>
    <t>Cook &amp; Dining</t>
  </si>
  <si>
    <t>黑色三层置物架</t>
  </si>
  <si>
    <t>F&amp;F Home 3 Tier Corner Caddy</t>
  </si>
  <si>
    <t>380-20449</t>
  </si>
  <si>
    <t>097053267</t>
  </si>
  <si>
    <t>048442389</t>
  </si>
  <si>
    <t>Homeshop</t>
  </si>
  <si>
    <t>BA2360-TESCO</t>
  </si>
  <si>
    <t>380-20450</t>
  </si>
  <si>
    <t>Go Cook Beechwood S/Steel Y Peeler</t>
  </si>
  <si>
    <t>CH HOME</t>
  </si>
  <si>
    <t>380-66384</t>
  </si>
  <si>
    <t>7</t>
  </si>
  <si>
    <t>05063446520780</t>
  </si>
  <si>
    <t>5063446520582</t>
  </si>
  <si>
    <t>096171975</t>
  </si>
  <si>
    <t>048625185</t>
  </si>
  <si>
    <t>5063250558689</t>
  </si>
  <si>
    <t>2005100959175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</si>
</sst>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宋体"/>
      <family val="2"/>
      <scheme val="minor"/>
    </font>
    <font>
      <b/>
      <sz val="11"/>
      <color rgb="FF000000"/>
      <name val="宋体"/>
      <family val="3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CE4D6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49" fontId="0" fillId="0" borderId="0" xfId="0" applyNumberForma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"/>
  <sheetViews>
    <sheetView tabSelected="1" topLeftCell="Y1" workbookViewId="0">
      <pane ySplit="1" topLeftCell="A2" activePane="bottomLeft" state="frozen"/>
      <selection pane="bottomLeft" activeCell="AL12" sqref="AL12"/>
    </sheetView>
  </sheetViews>
  <sheetFormatPr baseColWidth="10" defaultColWidth="8.83203125" defaultRowHeight="14"/>
  <cols>
    <col min="1" max="7" width="9" customWidth="1"/>
    <col min="8" max="8" width="12" customWidth="1"/>
    <col min="9" max="11" width="9" customWidth="1"/>
    <col min="12" max="12" width="12" customWidth="1"/>
    <col min="13" max="20" width="9" customWidth="1"/>
    <col min="21" max="21" width="10" customWidth="1"/>
    <col min="22" max="27" width="9" customWidth="1"/>
    <col min="28" max="28" width="10" customWidth="1"/>
    <col min="29" max="29" width="9" customWidth="1"/>
    <col min="30" max="30" width="12" customWidth="1"/>
    <col min="31" max="31" width="10" customWidth="1"/>
    <col min="32" max="32" width="9" customWidth="1"/>
    <col min="33" max="33" width="10" customWidth="1"/>
    <col min="34" max="34" width="12" customWidth="1"/>
    <col min="35" max="36" width="15" customWidth="1"/>
    <col min="37" max="37" width="10" customWidth="1"/>
    <col min="38" max="38" width="11" customWidth="1"/>
    <col min="39" max="39" width="10" customWidth="1"/>
    <col min="40" max="40" width="11" customWidth="1"/>
    <col min="41" max="41" width="14" customWidth="1"/>
    <col min="42" max="42" width="12" customWidth="1"/>
    <col min="43" max="43" width="14" customWidth="1"/>
    <col min="44" max="44" width="12" customWidth="1"/>
    <col min="45" max="45" width="10" customWidth="1"/>
    <col min="46" max="46" width="9" customWidth="1"/>
  </cols>
  <sheetData>
    <row r="1" spans="1:4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2" t="s">
        <v>33</v>
      </c>
      <c r="AI1" s="3" t="s">
        <v>34</v>
      </c>
      <c r="AJ1" s="2" t="s">
        <v>35</v>
      </c>
      <c r="AK1" s="3" t="s">
        <v>36</v>
      </c>
      <c r="AL1" s="2" t="s">
        <v>37</v>
      </c>
      <c r="AM1" s="3" t="s">
        <v>38</v>
      </c>
      <c r="AN1" s="2" t="s">
        <v>39</v>
      </c>
      <c r="AO1" s="3" t="s">
        <v>40</v>
      </c>
      <c r="AP1" s="2" t="s">
        <v>41</v>
      </c>
      <c r="AQ1" s="3" t="s">
        <v>42</v>
      </c>
      <c r="AR1" s="2" t="s">
        <v>43</v>
      </c>
      <c r="AS1" s="3" t="s">
        <v>44</v>
      </c>
      <c r="AT1" s="2" t="s">
        <v>45</v>
      </c>
    </row>
    <row r="2" spans="1:46">
      <c r="A2" s="4" t="s">
        <v>46</v>
      </c>
      <c r="B2" s="4" t="s">
        <v>78</v>
      </c>
      <c r="C2" s="4" t="s">
        <v>47</v>
      </c>
      <c r="D2">
        <v>845</v>
      </c>
      <c r="E2" s="4" t="s">
        <v>48</v>
      </c>
      <c r="F2" s="4" t="s">
        <v>49</v>
      </c>
      <c r="G2" s="4" t="s">
        <v>50</v>
      </c>
      <c r="H2" s="4" t="s">
        <v>79</v>
      </c>
      <c r="I2" s="4" t="s">
        <v>51</v>
      </c>
      <c r="J2">
        <v>6</v>
      </c>
      <c r="K2">
        <v>6</v>
      </c>
      <c r="L2" s="4"/>
      <c r="M2" s="4"/>
      <c r="N2" s="4" t="s">
        <v>52</v>
      </c>
      <c r="O2">
        <v>8</v>
      </c>
      <c r="P2" t="s">
        <v>91</v>
      </c>
      <c r="Q2">
        <v>41</v>
      </c>
      <c r="R2">
        <v>27</v>
      </c>
      <c r="S2">
        <v>25</v>
      </c>
      <c r="T2" t="str">
        <f>IF(LEFT(C2,3)="380","UK",IF(LEFT(C2,3)="999","CE",IF(LEFT(C2,3)="520","Ireland","")))</f>
        <v>UK</v>
      </c>
      <c r="U2" t="str">
        <f>LEFT(L2,8)</f>
        <v/>
      </c>
      <c r="V2" t="str">
        <f>RIGHT(L2,5)</f>
        <v/>
      </c>
      <c r="W2">
        <f>L2</f>
        <v>0</v>
      </c>
      <c r="X2" t="str">
        <f>IFERROR(IF(J2/K2=1," ","B/D "&amp;J2/K2),"")</f>
        <v xml:space="preserve"> </v>
      </c>
      <c r="Y2" t="str">
        <f>Q2&amp;"*"&amp;R2&amp;"*"&amp;S2&amp;"cm"</f>
        <v>41*27*25cm</v>
      </c>
      <c r="Z2" t="str">
        <f>IF(OR(AND(LEFT(C2,3)="380",O2&gt;23),AND(LEFT(C2,3)="999",O2&gt;14)),"双人抬","")</f>
        <v/>
      </c>
      <c r="AA2" t="str">
        <f ca="1">IFERROR(IF(OR(ISNUMBER(SEARCH("Go Cook",SUBSTITUTE(B2,_xludf.UNICHAR(160)," "))),ISNUMBER(SEARCH("Tesco",SUBSTITUTE(B2,_xludf.UNICHAR(160)," ")))),"Tesco",IF(ISNUMBER(SEARCH("F&amp;F Home",SUBSTITUTE(B2,_xludf.UNICHAR(160)," "))),"FF","")),"")</f>
        <v/>
      </c>
      <c r="AB2" t="str">
        <f>LEFT(G2,3)&amp;" "&amp;MID(G2,4,5)&amp;" "&amp;RIGHT(G2,6)</f>
        <v>050 63638 227053</v>
      </c>
      <c r="AC2" t="str">
        <f>IF(J2=K2,"",IFERROR("02"&amp;G2&amp;"37"&amp;TEXT(J2/K2,"00"),""))</f>
        <v/>
      </c>
      <c r="AD2" t="str">
        <f>IF(AC2="","",LEFT(AC2,2)&amp;" "&amp;MID(AC2,3,14)&amp;" "&amp;MID(AC2,17,2)&amp;" "&amp;RIGHT(AC2,2))</f>
        <v/>
      </c>
      <c r="AF2" t="str">
        <f>IF(AE2=""," ",_xlfn.XLOOKUP(AE2,选项字典!$A$2:$A$8,选项字典!$B$2:$B$8,"")&amp;"胶带用于上口封箱")</f>
        <v xml:space="preserve"> </v>
      </c>
      <c r="AH2" t="str">
        <f>IF(AG2="Y","Slit tape at base, lift off lid display full tray on shelf","")</f>
        <v/>
      </c>
      <c r="AJ2" t="str">
        <f>IF(AI2="Y","Slit tape at base, lift off lid display full tray on shelf","")</f>
        <v/>
      </c>
      <c r="AK2" t="s">
        <v>53</v>
      </c>
      <c r="AL2" t="str">
        <f>IF(AK2="Y",C2&amp;A2&amp;D2&amp;"个外箱","")</f>
        <v>380-68804相思木黑陶瓷碗套装845个外箱</v>
      </c>
      <c r="AM2" t="s">
        <v>53</v>
      </c>
      <c r="AN2" t="str">
        <f>IF(AND(AM2="Y",K2&lt;&gt;J2),"内盒-"&amp;A2,"")</f>
        <v/>
      </c>
      <c r="AO2" t="s">
        <v>53</v>
      </c>
      <c r="AP2" t="str">
        <f>IF(AO2="Y","ITF-UK-"&amp;A2&amp;"-"&amp;B2,"")</f>
        <v>ITF-UK-相思木黑陶瓷碗套装-F&amp;F Home Acacia Wooden Tray with 3 bowls black</v>
      </c>
      <c r="AQ2" t="s">
        <v>54</v>
      </c>
      <c r="AR2" t="str">
        <f>IF(AQ2="Y","ITF-CE-"&amp;A2&amp;"-"&amp;B2,"")</f>
        <v/>
      </c>
      <c r="AS2" t="s">
        <v>53</v>
      </c>
      <c r="AT2" t="str">
        <f>IF(AND(AS2="Y",AC2&lt;&gt;""),"BD-"&amp;A2,"")</f>
        <v/>
      </c>
    </row>
    <row r="3" spans="1:46">
      <c r="A3" s="4" t="s">
        <v>80</v>
      </c>
      <c r="B3" s="4" t="s">
        <v>81</v>
      </c>
      <c r="C3" s="4" t="s">
        <v>82</v>
      </c>
      <c r="D3">
        <v>477</v>
      </c>
      <c r="E3" s="4" t="s">
        <v>83</v>
      </c>
      <c r="F3" s="4" t="s">
        <v>84</v>
      </c>
      <c r="G3" s="4" t="s">
        <v>92</v>
      </c>
      <c r="H3" s="4" t="s">
        <v>85</v>
      </c>
      <c r="I3" s="4" t="s">
        <v>93</v>
      </c>
      <c r="J3">
        <v>4</v>
      </c>
      <c r="K3">
        <v>4</v>
      </c>
      <c r="L3" s="4"/>
      <c r="M3" s="4"/>
      <c r="N3" s="4" t="s">
        <v>86</v>
      </c>
      <c r="O3">
        <v>7.2</v>
      </c>
      <c r="P3">
        <v>6.24</v>
      </c>
      <c r="Q3">
        <v>47</v>
      </c>
      <c r="R3">
        <v>47</v>
      </c>
      <c r="S3">
        <v>51.5</v>
      </c>
      <c r="T3" t="str">
        <f t="shared" ref="T3:T6" si="0">IF(LEFT(C3,3)="380","UK",IF(LEFT(C3,3)="999","CE",IF(LEFT(C3,3)="520","Ireland","")))</f>
        <v>UK</v>
      </c>
      <c r="U3" t="str">
        <f t="shared" ref="U3:U6" si="1">LEFT(L3,8)</f>
        <v/>
      </c>
      <c r="V3" t="str">
        <f t="shared" ref="V3:V6" si="2">RIGHT(L3,5)</f>
        <v/>
      </c>
      <c r="W3">
        <f t="shared" ref="W3:W6" si="3">L3</f>
        <v>0</v>
      </c>
      <c r="X3" t="str">
        <f t="shared" ref="X3:X6" si="4">IFERROR(IF(J3/K3=1," ","B/D "&amp;J3/K3),"")</f>
        <v xml:space="preserve"> </v>
      </c>
      <c r="Y3" t="str">
        <f t="shared" ref="Y3:Y6" si="5">Q3&amp;"*"&amp;R3&amp;"*"&amp;S3&amp;"cm"</f>
        <v>47*47*51.5cm</v>
      </c>
      <c r="Z3" t="str">
        <f t="shared" ref="Z3:Z6" si="6">IF(OR(AND(LEFT(C3,3)="380",O3&gt;23),AND(LEFT(C3,3)="999",O3&gt;14)),"双人抬","")</f>
        <v/>
      </c>
      <c r="AA3" t="str">
        <f ca="1">IFERROR(IF(OR(ISNUMBER(SEARCH("Go Cook",SUBSTITUTE(B3,_xludf.UNICHAR(160)," "))),ISNUMBER(SEARCH("Tesco",SUBSTITUTE(B3,_xludf.UNICHAR(160)," ")))),"Tesco",IF(ISNUMBER(SEARCH("F&amp;F Home",SUBSTITUTE(B3,_xludf.UNICHAR(160)," "))),"FF","")),"")</f>
        <v/>
      </c>
      <c r="AB3" t="str">
        <f t="shared" ref="AB3:AB6" si="7">LEFT(G3,3)&amp;" "&amp;MID(G3,4,5)&amp;" "&amp;RIGHT(G3,6)</f>
        <v>050 63446 520780</v>
      </c>
      <c r="AC3" t="str">
        <f t="shared" ref="AC3:AC6" si="8">IF(J3=K3,"",IFERROR("02"&amp;G3&amp;"37"&amp;TEXT(J3/K3,"00"),""))</f>
        <v/>
      </c>
      <c r="AD3" t="str">
        <f t="shared" ref="AD3:AD6" si="9">IF(AC3="","",LEFT(AC3,2)&amp;" "&amp;MID(AC3,3,14)&amp;" "&amp;MID(AC3,17,2)&amp;" "&amp;RIGHT(AC3,2))</f>
        <v/>
      </c>
      <c r="AF3" t="str">
        <f>IF(AE3=""," ",_xlfn.XLOOKUP(AE3,选项字典!$A$2:$A$8,选项字典!$B$2:$B$8,"")&amp;"胶带用于上口封箱")</f>
        <v xml:space="preserve"> </v>
      </c>
      <c r="AH3" t="str">
        <f t="shared" ref="AH3:AH6" si="10">IF(AG3="Y","Slit tape at base, lift off lid display full tray on shelf","")</f>
        <v/>
      </c>
      <c r="AJ3" t="str">
        <f t="shared" ref="AJ3:AJ6" si="11">IF(AI3="Y","Slit tape at base, lift off lid display full tray on shelf","")</f>
        <v/>
      </c>
      <c r="AK3" t="s">
        <v>53</v>
      </c>
      <c r="AL3" t="str">
        <f t="shared" ref="AL3:AL6" si="12">IF(AK3="Y",C3&amp;A3&amp;D3&amp;"个外箱","")</f>
        <v>380-20449黑色三层置物架477个外箱</v>
      </c>
      <c r="AM3" t="s">
        <v>53</v>
      </c>
      <c r="AN3" t="str">
        <f t="shared" ref="AN3:AN6" si="13">IF(AND(AM3="Y",K3&lt;&gt;J3),"内盒-"&amp;A3,"")</f>
        <v/>
      </c>
      <c r="AO3" t="s">
        <v>53</v>
      </c>
      <c r="AP3" t="str">
        <f t="shared" ref="AP3:AP6" si="14">IF(AO3="Y","ITF-UK-"&amp;A3&amp;"-"&amp;B3,"")</f>
        <v>ITF-UK-黑色三层置物架-F&amp;F Home 3 Tier Corner Caddy</v>
      </c>
      <c r="AQ3" t="s">
        <v>54</v>
      </c>
      <c r="AR3" t="str">
        <f t="shared" ref="AR3:AR6" si="15">IF(AQ3="Y","ITF-CE-"&amp;A3&amp;"-"&amp;B3,"")</f>
        <v/>
      </c>
      <c r="AS3" t="s">
        <v>53</v>
      </c>
      <c r="AT3" t="str">
        <f t="shared" ref="AT3:AT6" si="16">IF(AND(AS3="Y",AC3&lt;&gt;""),"BD-"&amp;A3,"")</f>
        <v/>
      </c>
    </row>
    <row r="4" spans="1:46">
      <c r="A4" t="s">
        <v>80</v>
      </c>
      <c r="B4" t="s">
        <v>81</v>
      </c>
      <c r="C4" t="s">
        <v>87</v>
      </c>
      <c r="D4">
        <v>105</v>
      </c>
      <c r="E4" t="s">
        <v>83</v>
      </c>
      <c r="F4" t="s">
        <v>84</v>
      </c>
      <c r="G4" t="s">
        <v>92</v>
      </c>
      <c r="H4" t="s">
        <v>85</v>
      </c>
      <c r="I4" t="s">
        <v>93</v>
      </c>
      <c r="J4">
        <v>4</v>
      </c>
      <c r="K4">
        <v>4</v>
      </c>
      <c r="N4" t="s">
        <v>86</v>
      </c>
      <c r="O4">
        <v>7.2</v>
      </c>
      <c r="P4">
        <v>6.24</v>
      </c>
      <c r="Q4">
        <v>47</v>
      </c>
      <c r="R4">
        <v>47</v>
      </c>
      <c r="S4">
        <v>51.5</v>
      </c>
      <c r="T4" t="str">
        <f t="shared" si="0"/>
        <v>UK</v>
      </c>
      <c r="U4" t="str">
        <f t="shared" si="1"/>
        <v/>
      </c>
      <c r="V4" t="str">
        <f t="shared" si="2"/>
        <v/>
      </c>
      <c r="W4">
        <f t="shared" si="3"/>
        <v>0</v>
      </c>
      <c r="X4" t="str">
        <f t="shared" si="4"/>
        <v xml:space="preserve"> </v>
      </c>
      <c r="Y4" t="str">
        <f t="shared" si="5"/>
        <v>47*47*51.5cm</v>
      </c>
      <c r="Z4" t="str">
        <f t="shared" si="6"/>
        <v/>
      </c>
      <c r="AA4" t="str">
        <f ca="1">IFERROR(IF(OR(ISNUMBER(SEARCH("Go Cook",SUBSTITUTE(B4,_xludf.UNICHAR(160)," "))),ISNUMBER(SEARCH("Tesco",SUBSTITUTE(B4,_xludf.UNICHAR(160)," ")))),"Tesco",IF(ISNUMBER(SEARCH("F&amp;F Home",SUBSTITUTE(B4,_xludf.UNICHAR(160)," "))),"FF","")),"")</f>
        <v/>
      </c>
      <c r="AB4" t="str">
        <f t="shared" si="7"/>
        <v>050 63446 520780</v>
      </c>
      <c r="AC4" t="str">
        <f t="shared" si="8"/>
        <v/>
      </c>
      <c r="AD4" t="str">
        <f t="shared" si="9"/>
        <v/>
      </c>
      <c r="AF4" t="str">
        <f>IF(AE4=""," ",_xlfn.XLOOKUP(AE4,选项字典!$A$2:$A$8,选项字典!$B$2:$B$8,"")&amp;"胶带用于上口封箱")</f>
        <v xml:space="preserve"> </v>
      </c>
      <c r="AH4" t="str">
        <f t="shared" si="10"/>
        <v/>
      </c>
      <c r="AJ4" t="str">
        <f t="shared" si="11"/>
        <v/>
      </c>
      <c r="AK4" t="s">
        <v>53</v>
      </c>
      <c r="AL4" t="str">
        <f t="shared" si="12"/>
        <v>380-20450黑色三层置物架105个外箱</v>
      </c>
      <c r="AM4" t="s">
        <v>53</v>
      </c>
      <c r="AN4" t="str">
        <f t="shared" si="13"/>
        <v/>
      </c>
      <c r="AO4" t="s">
        <v>53</v>
      </c>
      <c r="AP4" t="str">
        <f t="shared" si="14"/>
        <v>ITF-UK-黑色三层置物架-F&amp;F Home 3 Tier Corner Caddy</v>
      </c>
      <c r="AQ4" t="s">
        <v>54</v>
      </c>
      <c r="AR4" t="str">
        <f t="shared" si="15"/>
        <v/>
      </c>
      <c r="AS4" t="s">
        <v>53</v>
      </c>
      <c r="AT4" t="str">
        <f t="shared" si="16"/>
        <v/>
      </c>
    </row>
    <row r="5" spans="1:46">
      <c r="A5" t="s">
        <v>55</v>
      </c>
      <c r="B5" t="s">
        <v>88</v>
      </c>
      <c r="C5" t="s">
        <v>56</v>
      </c>
      <c r="D5">
        <v>16</v>
      </c>
      <c r="E5" t="s">
        <v>94</v>
      </c>
      <c r="F5" t="s">
        <v>95</v>
      </c>
      <c r="G5" t="s">
        <v>57</v>
      </c>
      <c r="H5" t="s">
        <v>89</v>
      </c>
      <c r="I5" t="s">
        <v>96</v>
      </c>
      <c r="J5">
        <v>96</v>
      </c>
      <c r="K5">
        <v>6</v>
      </c>
      <c r="L5" t="s">
        <v>58</v>
      </c>
      <c r="M5">
        <v>122991312</v>
      </c>
      <c r="N5" t="s">
        <v>59</v>
      </c>
      <c r="O5">
        <v>6.7</v>
      </c>
      <c r="P5">
        <v>6.1</v>
      </c>
      <c r="Q5">
        <v>45</v>
      </c>
      <c r="R5">
        <v>17.5</v>
      </c>
      <c r="S5">
        <v>38</v>
      </c>
      <c r="T5" t="str">
        <f t="shared" si="0"/>
        <v>CE</v>
      </c>
      <c r="U5" t="str">
        <f t="shared" si="1"/>
        <v>20051010</v>
      </c>
      <c r="V5" t="str">
        <f t="shared" si="2"/>
        <v>01984</v>
      </c>
      <c r="W5" t="str">
        <f t="shared" si="3"/>
        <v>2005101001984</v>
      </c>
      <c r="X5" t="str">
        <f t="shared" si="4"/>
        <v>B/D 16</v>
      </c>
      <c r="Y5" t="str">
        <f t="shared" si="5"/>
        <v>45*17.5*38cm</v>
      </c>
      <c r="Z5" t="str">
        <f t="shared" si="6"/>
        <v/>
      </c>
      <c r="AA5" t="str">
        <f ca="1">IFERROR(IF(OR(ISNUMBER(SEARCH("Go Cook",SUBSTITUTE(B5,_xludf.UNICHAR(160)," "))),ISNUMBER(SEARCH("Tesco",SUBSTITUTE(B5,_xludf.UNICHAR(160)," ")))),"Tesco",IF(ISNUMBER(SEARCH("F&amp;F Home",SUBSTITUTE(B5,_xludf.UNICHAR(160)," "))),"FF","")),"")</f>
        <v/>
      </c>
      <c r="AB5" t="str">
        <f t="shared" si="7"/>
        <v>050 63446 647500</v>
      </c>
      <c r="AC5" t="str">
        <f t="shared" si="8"/>
        <v>02050634466475003716</v>
      </c>
      <c r="AD5" t="str">
        <f t="shared" si="9"/>
        <v>02 05063446647500 37 16</v>
      </c>
      <c r="AF5" t="str">
        <f>IF(AE5=""," ",_xlfn.XLOOKUP(AE5,选项字典!$A$2:$A$8,选项字典!$B$2:$B$8,"")&amp;"胶带用于上口封箱")</f>
        <v xml:space="preserve"> </v>
      </c>
      <c r="AH5" t="str">
        <f t="shared" si="10"/>
        <v/>
      </c>
      <c r="AJ5" t="str">
        <f t="shared" si="11"/>
        <v/>
      </c>
      <c r="AK5" t="s">
        <v>53</v>
      </c>
      <c r="AL5" t="str">
        <f t="shared" si="12"/>
        <v>999-88153不锈钢刮皮刀16个外箱</v>
      </c>
      <c r="AM5" t="s">
        <v>53</v>
      </c>
      <c r="AN5" t="str">
        <f t="shared" si="13"/>
        <v>内盒-不锈钢刮皮刀</v>
      </c>
      <c r="AO5" t="s">
        <v>53</v>
      </c>
      <c r="AP5" t="str">
        <f t="shared" si="14"/>
        <v>ITF-UK-不锈钢刮皮刀-Go Cook Beechwood S/Steel Y Peeler</v>
      </c>
      <c r="AQ5" t="s">
        <v>54</v>
      </c>
      <c r="AR5" t="str">
        <f t="shared" si="15"/>
        <v/>
      </c>
      <c r="AS5" t="s">
        <v>53</v>
      </c>
      <c r="AT5" t="str">
        <f t="shared" si="16"/>
        <v>BD-不锈钢刮皮刀</v>
      </c>
    </row>
    <row r="6" spans="1:46">
      <c r="A6" t="s">
        <v>55</v>
      </c>
      <c r="B6" t="s">
        <v>88</v>
      </c>
      <c r="C6" t="s">
        <v>90</v>
      </c>
      <c r="D6">
        <v>63</v>
      </c>
      <c r="E6" t="s">
        <v>94</v>
      </c>
      <c r="F6" t="s">
        <v>95</v>
      </c>
      <c r="G6" t="s">
        <v>57</v>
      </c>
      <c r="H6" t="s">
        <v>79</v>
      </c>
      <c r="I6" t="s">
        <v>96</v>
      </c>
      <c r="J6">
        <v>96</v>
      </c>
      <c r="K6">
        <v>6</v>
      </c>
      <c r="L6" t="s">
        <v>97</v>
      </c>
      <c r="M6">
        <v>122645796</v>
      </c>
      <c r="N6" t="s">
        <v>59</v>
      </c>
      <c r="O6">
        <v>6.7</v>
      </c>
      <c r="P6">
        <v>6.1</v>
      </c>
      <c r="Q6">
        <v>45</v>
      </c>
      <c r="R6">
        <v>17.5</v>
      </c>
      <c r="S6">
        <v>38</v>
      </c>
      <c r="T6" t="str">
        <f t="shared" si="0"/>
        <v>UK</v>
      </c>
      <c r="U6" t="str">
        <f t="shared" si="1"/>
        <v>20051009</v>
      </c>
      <c r="V6" t="str">
        <f t="shared" si="2"/>
        <v>59175</v>
      </c>
      <c r="W6" t="str">
        <f t="shared" si="3"/>
        <v>2005100959175</v>
      </c>
      <c r="X6" t="str">
        <f t="shared" si="4"/>
        <v>B/D 16</v>
      </c>
      <c r="Y6" t="str">
        <f t="shared" si="5"/>
        <v>45*17.5*38cm</v>
      </c>
      <c r="Z6" t="str">
        <f t="shared" si="6"/>
        <v/>
      </c>
      <c r="AA6" t="str">
        <f ca="1">IFERROR(IF(OR(ISNUMBER(SEARCH("Go Cook",SUBSTITUTE(B6,_xludf.UNICHAR(160)," "))),ISNUMBER(SEARCH("Tesco",SUBSTITUTE(B6,_xludf.UNICHAR(160)," ")))),"Tesco",IF(ISNUMBER(SEARCH("F&amp;F Home",SUBSTITUTE(B6,_xludf.UNICHAR(160)," "))),"FF","")),"")</f>
        <v/>
      </c>
      <c r="AB6" t="str">
        <f t="shared" si="7"/>
        <v>050 63446 647500</v>
      </c>
      <c r="AC6" t="str">
        <f t="shared" si="8"/>
        <v>02050634466475003716</v>
      </c>
      <c r="AD6" t="str">
        <f t="shared" si="9"/>
        <v>02 05063446647500 37 16</v>
      </c>
      <c r="AF6" t="str">
        <f>IF(AE6=""," ",_xlfn.XLOOKUP(AE6,选项字典!$A$2:$A$8,选项字典!$B$2:$B$8,"")&amp;"胶带用于上口封箱")</f>
        <v xml:space="preserve"> </v>
      </c>
      <c r="AH6" t="str">
        <f t="shared" si="10"/>
        <v/>
      </c>
      <c r="AJ6" t="str">
        <f t="shared" si="11"/>
        <v/>
      </c>
      <c r="AK6" t="s">
        <v>53</v>
      </c>
      <c r="AL6" t="str">
        <f t="shared" si="12"/>
        <v>380-66384不锈钢刮皮刀63个外箱</v>
      </c>
      <c r="AM6" t="s">
        <v>53</v>
      </c>
      <c r="AN6" t="str">
        <f t="shared" si="13"/>
        <v>内盒-不锈钢刮皮刀</v>
      </c>
      <c r="AO6" t="s">
        <v>53</v>
      </c>
      <c r="AP6" t="str">
        <f t="shared" si="14"/>
        <v>ITF-UK-不锈钢刮皮刀-Go Cook Beechwood S/Steel Y Peeler</v>
      </c>
      <c r="AQ6" t="s">
        <v>54</v>
      </c>
      <c r="AR6" t="str">
        <f t="shared" si="15"/>
        <v/>
      </c>
      <c r="AS6" t="s">
        <v>53</v>
      </c>
      <c r="AT6" t="str">
        <f t="shared" si="16"/>
        <v>BD-不锈钢刮皮刀</v>
      </c>
    </row>
  </sheetData>
  <phoneticPr fontId="3" type="noConversion"/>
  <dataValidations count="1">
    <dataValidation type="list" allowBlank="1" sqref="AI2:AI500 AK2:AK500 AS2:AS500 AO2:AO500 AQ2:AQ500 AG2:AG500 AM2:AM500" xr:uid="{00000000-0002-0000-0000-000001000000}">
      <formula1>"Y,N"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选项字典!$A$2:$A$8</xm:f>
          </x14:formula1>
          <xm:sqref>AE2:AE500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sheetData>
    <row r="1" spans="1:2">
      <c r="A1" s="5" t="s">
        <v>30</v>
      </c>
      <c r="B1" s="5" t="s">
        <v>31</v>
      </c>
    </row>
    <row r="2" spans="1:2">
      <c r="A2" t="s">
        <v>60</v>
      </c>
      <c r="B2" t="s">
        <v>61</v>
      </c>
    </row>
    <row r="3" spans="1:2">
      <c r="A3" t="s">
        <v>62</v>
      </c>
      <c r="B3" t="s">
        <v>63</v>
      </c>
    </row>
    <row r="4" spans="1:2">
      <c r="A4" t="s">
        <v>64</v>
      </c>
      <c r="B4" t="s">
        <v>65</v>
      </c>
    </row>
    <row r="5" spans="1:2">
      <c r="A5" t="s">
        <v>66</v>
      </c>
      <c r="B5" t="s">
        <v>65</v>
      </c>
    </row>
    <row r="6" spans="1:2">
      <c r="A6" t="s">
        <v>67</v>
      </c>
      <c r="B6" t="s">
        <v>65</v>
      </c>
    </row>
    <row r="7" spans="1:2">
      <c r="A7" t="s">
        <v>68</v>
      </c>
      <c r="B7" t="s">
        <v>65</v>
      </c>
    </row>
    <row r="8" spans="1:2">
      <c r="A8" t="s">
        <v>69</v>
      </c>
      <c r="B8" t="s">
        <v>70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7"/>
  <sheetViews>
    <sheetView workbookViewId="0"/>
  </sheetViews>
  <sheetFormatPr baseColWidth="10" defaultColWidth="8.83203125" defaultRowHeight="14"/>
  <cols>
    <col min="1" max="1" width="100" customWidth="1"/>
  </cols>
  <sheetData>
    <row r="1" spans="1:1">
      <c r="A1" t="s">
        <v>71</v>
      </c>
    </row>
    <row r="2" spans="1:1">
      <c r="A2" t="s">
        <v>72</v>
      </c>
    </row>
    <row r="3" spans="1:1">
      <c r="A3" t="s">
        <v>73</v>
      </c>
    </row>
    <row r="4" spans="1:1">
      <c r="A4" t="s">
        <v>74</v>
      </c>
    </row>
    <row r="5" spans="1:1">
      <c r="A5" t="s">
        <v>75</v>
      </c>
    </row>
    <row r="6" spans="1:1">
      <c r="A6" t="s">
        <v>76</v>
      </c>
    </row>
    <row r="7" spans="1:1">
      <c r="A7" t="s">
        <v>77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数据源</vt:lpstr>
      <vt:lpstr>选项字典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Sherry Xu</cp:lastModifiedBy>
  <dcterms:created xsi:type="dcterms:W3CDTF">2026-08-12T15:26:53Z</dcterms:created>
  <dcterms:modified xsi:type="dcterms:W3CDTF">2026-08-13T00:07:21Z</dcterms:modified>
</cp:coreProperties>
</file>